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8695" windowHeight="13815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21" i="3"/>
  <c r="G15"/>
  <c r="G12"/>
  <c r="B20"/>
  <c r="B1"/>
  <c r="B2" s="1"/>
  <c r="F10"/>
  <c r="B6"/>
  <c r="B12" s="1"/>
  <c r="B18"/>
  <c r="E6"/>
  <c r="B3" l="1"/>
  <c r="B19" l="1"/>
  <c r="F19" s="1"/>
  <c r="B13"/>
</calcChain>
</file>

<file path=xl/sharedStrings.xml><?xml version="1.0" encoding="utf-8"?>
<sst xmlns="http://schemas.openxmlformats.org/spreadsheetml/2006/main" count="72" uniqueCount="58">
  <si>
    <t>MRF</t>
  </si>
  <si>
    <t>Standalone Profit &amp; Loss account</t>
  </si>
  <si>
    <t>------------------- in Rs. Cr. -------------------</t>
  </si>
  <si>
    <t>Mar '25</t>
  </si>
  <si>
    <t>Mar '24</t>
  </si>
  <si>
    <t>Mar '23</t>
  </si>
  <si>
    <t>Mar '22</t>
  </si>
  <si>
    <t>Mar '21</t>
  </si>
  <si>
    <t>12 mths</t>
  </si>
  <si>
    <t>Income</t>
  </si>
  <si>
    <t>Sales Turnover</t>
  </si>
  <si>
    <t>Net Sales</t>
  </si>
  <si>
    <t>Other Income</t>
  </si>
  <si>
    <t>Stock Adjustments</t>
  </si>
  <si>
    <t>Total Income</t>
  </si>
  <si>
    <t>Expenditure</t>
  </si>
  <si>
    <t>Raw Materials</t>
  </si>
  <si>
    <t>Power &amp; Fuel Cost</t>
  </si>
  <si>
    <t>Employee Cost</t>
  </si>
  <si>
    <t>Selling and Admin Expenses</t>
  </si>
  <si>
    <t>Miscellaneous Expenses</t>
  </si>
  <si>
    <t>Total Expenses</t>
  </si>
  <si>
    <t>Operating Profit</t>
  </si>
  <si>
    <t>PBDIT</t>
  </si>
  <si>
    <t>Interest</t>
  </si>
  <si>
    <t>PBDT</t>
  </si>
  <si>
    <t>Depreciation</t>
  </si>
  <si>
    <t>Profit Before Tax</t>
  </si>
  <si>
    <t>PBT (Post Extra-ord Items)</t>
  </si>
  <si>
    <t>Tax</t>
  </si>
  <si>
    <t>Reported Net Profit</t>
  </si>
  <si>
    <t>Total Value Addition</t>
  </si>
  <si>
    <t>Equity Dividend</t>
  </si>
  <si>
    <t>Per share data (annualised)</t>
  </si>
  <si>
    <t>Shares in issue (lakhs)</t>
  </si>
  <si>
    <t>Earning Per Share (Rs)</t>
  </si>
  <si>
    <t>Equity Dividend (%)</t>
  </si>
  <si>
    <t>Book Value (Rs)</t>
  </si>
  <si>
    <t>sales</t>
  </si>
  <si>
    <t>cogs</t>
  </si>
  <si>
    <t>gross profit</t>
  </si>
  <si>
    <t>operating expenses</t>
  </si>
  <si>
    <t>payroll and commision</t>
  </si>
  <si>
    <t>advertsing</t>
  </si>
  <si>
    <t>administrative cost</t>
  </si>
  <si>
    <t>rent</t>
  </si>
  <si>
    <t>utility</t>
  </si>
  <si>
    <t>office equipments</t>
  </si>
  <si>
    <t>total operating expenses</t>
  </si>
  <si>
    <t>non-operating and others</t>
  </si>
  <si>
    <t>interest  revenue</t>
  </si>
  <si>
    <t>interest on investment</t>
  </si>
  <si>
    <t>gain from expenses</t>
  </si>
  <si>
    <t>total non-operating items</t>
  </si>
  <si>
    <t>net profit</t>
  </si>
  <si>
    <t>operating profit margin</t>
  </si>
  <si>
    <t xml:space="preserve"> total operating profit </t>
  </si>
  <si>
    <t>net profit margin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</si>
</sst>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</font>
    <font>
      <sz val="11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8EBE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 style="medium">
        <color rgb="FFEEEEEE"/>
      </left>
      <right/>
      <top/>
      <bottom/>
      <diagonal/>
    </border>
    <border>
      <left/>
      <right style="medium">
        <color rgb="FFEEEEEE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wrapText="1"/>
    </xf>
    <xf numFmtId="0" fontId="5" fillId="2" borderId="0" xfId="1" applyFill="1" applyAlignment="1" applyProtection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right"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right" wrapText="1"/>
    </xf>
    <xf numFmtId="4" fontId="4" fillId="2" borderId="1" xfId="0" applyNumberFormat="1" applyFont="1" applyFill="1" applyBorder="1" applyAlignment="1">
      <alignment horizontal="right" wrapText="1"/>
    </xf>
    <xf numFmtId="4" fontId="3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3" fillId="3" borderId="0" xfId="0" applyFont="1" applyFill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4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6" fillId="0" borderId="0" xfId="0" applyFont="1"/>
    <xf numFmtId="0" fontId="0" fillId="4" borderId="0" xfId="0" applyFill="1"/>
    <xf numFmtId="0" fontId="0" fillId="0" borderId="4" xfId="0" applyBorder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76200</xdr:colOff>
      <xdr:row>3</xdr:row>
      <xdr:rowOff>76200</xdr:rowOff>
    </xdr:to>
    <xdr:pic>
      <xdr:nvPicPr>
        <xdr:cNvPr id="1025" name="Picture 1" descr="https://images.moneycontrol.com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90625"/>
          <a:ext cx="76200" cy="762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76200</xdr:colOff>
      <xdr:row>5</xdr:row>
      <xdr:rowOff>76200</xdr:rowOff>
    </xdr:to>
    <xdr:pic>
      <xdr:nvPicPr>
        <xdr:cNvPr id="1026" name="Picture 2" descr="https://images.moneycontrol.com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571625"/>
          <a:ext cx="76200" cy="762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76200</xdr:colOff>
      <xdr:row>20</xdr:row>
      <xdr:rowOff>76200</xdr:rowOff>
    </xdr:to>
    <xdr:pic>
      <xdr:nvPicPr>
        <xdr:cNvPr id="1027" name="Picture 3" descr="https://images.moneycontrol.com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276975"/>
          <a:ext cx="76200" cy="762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76200</xdr:colOff>
      <xdr:row>22</xdr:row>
      <xdr:rowOff>76200</xdr:rowOff>
    </xdr:to>
    <xdr:pic>
      <xdr:nvPicPr>
        <xdr:cNvPr id="1028" name="Picture 4" descr="https://images.moneycontrol.com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657975"/>
          <a:ext cx="76200" cy="762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76200</xdr:colOff>
      <xdr:row>41</xdr:row>
      <xdr:rowOff>76200</xdr:rowOff>
    </xdr:to>
    <xdr:pic>
      <xdr:nvPicPr>
        <xdr:cNvPr id="1029" name="Picture 5" descr="https://img-d05.moneycontrol.co.in/images/blank.gif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12820650"/>
          <a:ext cx="76200" cy="762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opLeftCell="A13" zoomScale="280" zoomScaleNormal="280" workbookViewId="0">
      <selection activeCell="B2" sqref="B2"/>
    </sheetView>
  </sheetViews>
  <sheetFormatPr defaultRowHeight="15"/>
  <cols>
    <col min="1" max="1" width="25" customWidth="1"/>
    <col min="2" max="2" width="21" customWidth="1"/>
  </cols>
  <sheetData>
    <row r="1" spans="1:11">
      <c r="A1" s="2" t="s">
        <v>0</v>
      </c>
      <c r="B1" s="3"/>
    </row>
    <row r="2" spans="1:11" ht="48.75">
      <c r="A2" s="4" t="s">
        <v>1</v>
      </c>
      <c r="B2" s="5" t="s">
        <v>2</v>
      </c>
    </row>
    <row r="3" spans="1:11">
      <c r="A3" s="6"/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1"/>
      <c r="H3" s="1"/>
      <c r="I3" s="1"/>
      <c r="J3" s="1"/>
      <c r="K3" s="1"/>
    </row>
    <row r="4" spans="1:1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>
      <c r="A5" s="8"/>
      <c r="B5" s="9" t="s">
        <v>8</v>
      </c>
      <c r="C5" s="9" t="s">
        <v>8</v>
      </c>
      <c r="D5" s="9" t="s">
        <v>8</v>
      </c>
      <c r="E5" s="9" t="s">
        <v>8</v>
      </c>
      <c r="F5" s="9" t="s">
        <v>8</v>
      </c>
      <c r="G5" s="1"/>
      <c r="H5" s="1"/>
      <c r="I5" s="1"/>
      <c r="J5" s="1"/>
      <c r="K5" s="1"/>
    </row>
    <row r="6" spans="1:11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</row>
    <row r="7" spans="1:11">
      <c r="A7" s="15" t="s">
        <v>9</v>
      </c>
      <c r="B7" s="16"/>
      <c r="C7" s="7"/>
      <c r="D7" s="7"/>
      <c r="E7" s="7"/>
      <c r="F7" s="7"/>
      <c r="G7" s="1"/>
      <c r="H7" s="1"/>
      <c r="I7" s="1"/>
      <c r="J7" s="1"/>
      <c r="K7" s="1"/>
    </row>
    <row r="8" spans="1:11" ht="24.75">
      <c r="A8" s="8" t="s">
        <v>10</v>
      </c>
      <c r="B8" s="10">
        <v>27665.22</v>
      </c>
      <c r="C8" s="10">
        <v>24673.68</v>
      </c>
      <c r="D8" s="10">
        <v>22578.23</v>
      </c>
      <c r="E8" s="10">
        <v>18989.509999999998</v>
      </c>
      <c r="F8" s="10">
        <v>15921.35</v>
      </c>
      <c r="G8" s="1"/>
      <c r="H8" s="1"/>
      <c r="I8" s="1"/>
      <c r="J8" s="1"/>
      <c r="K8" s="1"/>
    </row>
    <row r="9" spans="1:11">
      <c r="A9" s="8" t="s">
        <v>11</v>
      </c>
      <c r="B9" s="10">
        <v>27665.22</v>
      </c>
      <c r="C9" s="10">
        <v>24673.68</v>
      </c>
      <c r="D9" s="10">
        <v>22578.23</v>
      </c>
      <c r="E9" s="10">
        <v>18989.509999999998</v>
      </c>
      <c r="F9" s="10">
        <v>15921.35</v>
      </c>
      <c r="G9" s="1"/>
      <c r="H9" s="1"/>
      <c r="I9" s="1"/>
      <c r="J9" s="1"/>
      <c r="K9" s="1"/>
    </row>
    <row r="10" spans="1:11" ht="24.75">
      <c r="A10" s="8" t="s">
        <v>12</v>
      </c>
      <c r="B10" s="9">
        <v>402.86</v>
      </c>
      <c r="C10" s="9">
        <v>312.45999999999998</v>
      </c>
      <c r="D10" s="9">
        <v>328.54</v>
      </c>
      <c r="E10" s="9">
        <v>252.67</v>
      </c>
      <c r="F10" s="9">
        <v>207.23</v>
      </c>
      <c r="G10" s="1"/>
      <c r="H10" s="1"/>
      <c r="I10" s="1"/>
      <c r="J10" s="1"/>
      <c r="K10" s="1"/>
    </row>
    <row r="11" spans="1:11" ht="36.75">
      <c r="A11" s="8" t="s">
        <v>13</v>
      </c>
      <c r="B11" s="9">
        <v>601.1</v>
      </c>
      <c r="C11" s="9">
        <v>182.41</v>
      </c>
      <c r="D11" s="9">
        <v>339.63</v>
      </c>
      <c r="E11" s="9">
        <v>844.92</v>
      </c>
      <c r="F11" s="9">
        <v>-359.36</v>
      </c>
      <c r="G11" s="1"/>
      <c r="H11" s="1"/>
      <c r="I11" s="1"/>
      <c r="J11" s="1"/>
      <c r="K11" s="1"/>
    </row>
    <row r="12" spans="1:11" ht="24.75">
      <c r="A12" s="6" t="s">
        <v>14</v>
      </c>
      <c r="B12" s="11">
        <v>28669.18</v>
      </c>
      <c r="C12" s="11">
        <v>25168.55</v>
      </c>
      <c r="D12" s="11">
        <v>23246.400000000001</v>
      </c>
      <c r="E12" s="11">
        <v>20087.099999999999</v>
      </c>
      <c r="F12" s="11">
        <v>15769.22</v>
      </c>
      <c r="G12" s="1"/>
      <c r="H12" s="1"/>
      <c r="I12" s="1"/>
      <c r="J12" s="1"/>
      <c r="K12" s="1"/>
    </row>
    <row r="13" spans="1:11">
      <c r="A13" s="15" t="s">
        <v>15</v>
      </c>
      <c r="B13" s="16"/>
      <c r="C13" s="7"/>
      <c r="D13" s="7"/>
      <c r="E13" s="7"/>
      <c r="F13" s="7"/>
      <c r="G13" s="1"/>
      <c r="H13" s="1"/>
      <c r="I13" s="1"/>
      <c r="J13" s="1"/>
      <c r="K13" s="1"/>
    </row>
    <row r="14" spans="1:11" ht="24.75">
      <c r="A14" s="8" t="s">
        <v>16</v>
      </c>
      <c r="B14" s="10">
        <v>18377.07</v>
      </c>
      <c r="C14" s="10">
        <v>15534.87</v>
      </c>
      <c r="D14" s="10">
        <v>15976.67</v>
      </c>
      <c r="E14" s="10">
        <v>13657.66</v>
      </c>
      <c r="F14" s="10">
        <v>9134.07</v>
      </c>
      <c r="G14" s="1"/>
      <c r="H14" s="1"/>
      <c r="I14" s="1"/>
      <c r="J14" s="1"/>
      <c r="K14" s="1"/>
    </row>
    <row r="15" spans="1:11" ht="24.75">
      <c r="A15" s="8" t="s">
        <v>17</v>
      </c>
      <c r="B15" s="9">
        <v>0</v>
      </c>
      <c r="C15" s="10">
        <v>1146.3900000000001</v>
      </c>
      <c r="D15" s="10">
        <v>1134.47</v>
      </c>
      <c r="E15" s="9">
        <v>930.93</v>
      </c>
      <c r="F15" s="9">
        <v>654.24</v>
      </c>
      <c r="G15" s="1"/>
      <c r="H15" s="1"/>
      <c r="I15" s="1"/>
      <c r="J15" s="1"/>
      <c r="K15" s="1"/>
    </row>
    <row r="16" spans="1:11" ht="24.75">
      <c r="A16" s="8" t="s">
        <v>18</v>
      </c>
      <c r="B16" s="10">
        <v>1831.53</v>
      </c>
      <c r="C16" s="10">
        <v>1748.14</v>
      </c>
      <c r="D16" s="10">
        <v>1558.87</v>
      </c>
      <c r="E16" s="10">
        <v>1471.94</v>
      </c>
      <c r="F16" s="10">
        <v>1387.87</v>
      </c>
      <c r="G16" s="1"/>
      <c r="H16" s="1"/>
      <c r="I16" s="1"/>
      <c r="J16" s="1"/>
      <c r="K16" s="1"/>
    </row>
    <row r="17" spans="1:11" ht="48.75">
      <c r="A17" s="8" t="s">
        <v>19</v>
      </c>
      <c r="B17" s="9">
        <v>0</v>
      </c>
      <c r="C17" s="9">
        <v>248.77</v>
      </c>
      <c r="D17" s="9">
        <v>223.29</v>
      </c>
      <c r="E17" s="9">
        <v>178.62</v>
      </c>
      <c r="F17" s="9">
        <v>104.53</v>
      </c>
      <c r="G17" s="1"/>
      <c r="H17" s="1"/>
      <c r="I17" s="1"/>
      <c r="J17" s="1"/>
      <c r="K17" s="1"/>
    </row>
    <row r="18" spans="1:11" ht="36.75">
      <c r="A18" s="8" t="s">
        <v>20</v>
      </c>
      <c r="B18" s="10">
        <v>4101.8500000000004</v>
      </c>
      <c r="C18" s="10">
        <v>2010.08</v>
      </c>
      <c r="D18" s="10">
        <v>1687.24</v>
      </c>
      <c r="E18" s="10">
        <v>1582.62</v>
      </c>
      <c r="F18" s="10">
        <v>1386.6</v>
      </c>
      <c r="G18" s="1"/>
      <c r="H18" s="1"/>
      <c r="I18" s="1"/>
      <c r="J18" s="1"/>
      <c r="K18" s="1"/>
    </row>
    <row r="19" spans="1:11" ht="24.75">
      <c r="A19" s="8" t="s">
        <v>21</v>
      </c>
      <c r="B19" s="10">
        <v>24310.45</v>
      </c>
      <c r="C19" s="10">
        <v>20688.25</v>
      </c>
      <c r="D19" s="10">
        <v>20580.54</v>
      </c>
      <c r="E19" s="10">
        <v>17821.77</v>
      </c>
      <c r="F19" s="10">
        <v>12667.31</v>
      </c>
      <c r="G19" s="1"/>
      <c r="H19" s="1"/>
      <c r="I19" s="1"/>
      <c r="J19" s="1"/>
      <c r="K19" s="1"/>
    </row>
    <row r="20" spans="1:11">
      <c r="A20" s="6"/>
      <c r="B20" s="7" t="s">
        <v>3</v>
      </c>
      <c r="C20" s="7" t="s">
        <v>4</v>
      </c>
      <c r="D20" s="7" t="s">
        <v>5</v>
      </c>
      <c r="E20" s="7" t="s">
        <v>6</v>
      </c>
      <c r="F20" s="7" t="s">
        <v>7</v>
      </c>
      <c r="G20" s="1"/>
      <c r="H20" s="1"/>
      <c r="I20" s="1"/>
      <c r="J20" s="1"/>
      <c r="K20" s="1"/>
    </row>
    <row r="21" spans="1:1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1:11">
      <c r="A22" s="8"/>
      <c r="B22" s="9" t="s">
        <v>8</v>
      </c>
      <c r="C22" s="9" t="s">
        <v>8</v>
      </c>
      <c r="D22" s="9" t="s">
        <v>8</v>
      </c>
      <c r="E22" s="9" t="s">
        <v>8</v>
      </c>
      <c r="F22" s="9" t="s">
        <v>8</v>
      </c>
      <c r="G22" s="1"/>
      <c r="H22" s="1"/>
      <c r="I22" s="1"/>
      <c r="J22" s="1"/>
      <c r="K22" s="1"/>
    </row>
    <row r="23" spans="1:1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1:11" ht="24.75">
      <c r="A24" s="6" t="s">
        <v>22</v>
      </c>
      <c r="B24" s="11">
        <v>3955.87</v>
      </c>
      <c r="C24" s="11">
        <v>4167.84</v>
      </c>
      <c r="D24" s="11">
        <v>2337.3200000000002</v>
      </c>
      <c r="E24" s="11">
        <v>2012.66</v>
      </c>
      <c r="F24" s="11">
        <v>2894.68</v>
      </c>
      <c r="G24" s="1"/>
      <c r="H24" s="1"/>
      <c r="I24" s="1"/>
      <c r="J24" s="1"/>
      <c r="K24" s="1"/>
    </row>
    <row r="25" spans="1:11">
      <c r="A25" s="8" t="s">
        <v>23</v>
      </c>
      <c r="B25" s="10">
        <v>4358.7299999999996</v>
      </c>
      <c r="C25" s="10">
        <v>4480.3</v>
      </c>
      <c r="D25" s="10">
        <v>2665.86</v>
      </c>
      <c r="E25" s="10">
        <v>2265.33</v>
      </c>
      <c r="F25" s="10">
        <v>3101.91</v>
      </c>
      <c r="G25" s="1"/>
      <c r="H25" s="1"/>
      <c r="I25" s="1"/>
      <c r="J25" s="1"/>
      <c r="K25" s="1"/>
    </row>
    <row r="26" spans="1:11">
      <c r="A26" s="8" t="s">
        <v>24</v>
      </c>
      <c r="B26" s="9">
        <v>291.43</v>
      </c>
      <c r="C26" s="9">
        <v>316.33999999999997</v>
      </c>
      <c r="D26" s="9">
        <v>298.06</v>
      </c>
      <c r="E26" s="9">
        <v>247.01</v>
      </c>
      <c r="F26" s="9">
        <v>264.72000000000003</v>
      </c>
      <c r="G26" s="1"/>
      <c r="H26" s="1"/>
      <c r="I26" s="1"/>
      <c r="J26" s="1"/>
      <c r="K26" s="1"/>
    </row>
    <row r="27" spans="1:11">
      <c r="A27" s="8" t="s">
        <v>25</v>
      </c>
      <c r="B27" s="10">
        <v>4067.3</v>
      </c>
      <c r="C27" s="10">
        <v>4163.96</v>
      </c>
      <c r="D27" s="10">
        <v>2367.8000000000002</v>
      </c>
      <c r="E27" s="10">
        <v>2018.32</v>
      </c>
      <c r="F27" s="10">
        <v>2837.19</v>
      </c>
      <c r="G27" s="1"/>
      <c r="H27" s="1"/>
      <c r="I27" s="1"/>
      <c r="J27" s="1"/>
      <c r="K27" s="1"/>
    </row>
    <row r="28" spans="1:11" ht="24.75">
      <c r="A28" s="8" t="s">
        <v>26</v>
      </c>
      <c r="B28" s="10">
        <v>1647.4</v>
      </c>
      <c r="C28" s="10">
        <v>1425</v>
      </c>
      <c r="D28" s="10">
        <v>1248.5999999999999</v>
      </c>
      <c r="E28" s="10">
        <v>1201.4100000000001</v>
      </c>
      <c r="F28" s="10">
        <v>1136.92</v>
      </c>
      <c r="G28" s="1"/>
      <c r="H28" s="1"/>
      <c r="I28" s="1"/>
      <c r="J28" s="1"/>
      <c r="K28" s="1"/>
    </row>
    <row r="29" spans="1:11" ht="36.75">
      <c r="A29" s="8" t="s">
        <v>27</v>
      </c>
      <c r="B29" s="10">
        <v>2419.9</v>
      </c>
      <c r="C29" s="10">
        <v>2738.96</v>
      </c>
      <c r="D29" s="10">
        <v>1119.2</v>
      </c>
      <c r="E29" s="9">
        <v>816.91</v>
      </c>
      <c r="F29" s="10">
        <v>1700.27</v>
      </c>
      <c r="G29" s="1"/>
      <c r="H29" s="1"/>
      <c r="I29" s="1"/>
      <c r="J29" s="1"/>
      <c r="K29" s="1"/>
    </row>
    <row r="30" spans="1:11" ht="36.75">
      <c r="A30" s="8" t="s">
        <v>28</v>
      </c>
      <c r="B30" s="10">
        <v>2419.9</v>
      </c>
      <c r="C30" s="10">
        <v>2738.96</v>
      </c>
      <c r="D30" s="10">
        <v>1119.2</v>
      </c>
      <c r="E30" s="9">
        <v>816.91</v>
      </c>
      <c r="F30" s="10">
        <v>1700.27</v>
      </c>
      <c r="G30" s="1"/>
      <c r="H30" s="1"/>
      <c r="I30" s="1"/>
      <c r="J30" s="1"/>
      <c r="K30" s="1"/>
    </row>
    <row r="31" spans="1:11">
      <c r="A31" s="8" t="s">
        <v>29</v>
      </c>
      <c r="B31" s="9">
        <v>597.35</v>
      </c>
      <c r="C31" s="9">
        <v>698.01</v>
      </c>
      <c r="D31" s="9">
        <v>302.97000000000003</v>
      </c>
      <c r="E31" s="9">
        <v>231.82</v>
      </c>
      <c r="F31" s="9">
        <v>451.21</v>
      </c>
      <c r="G31" s="1"/>
      <c r="H31" s="1"/>
      <c r="I31" s="1"/>
      <c r="J31" s="1"/>
      <c r="K31" s="1"/>
    </row>
    <row r="32" spans="1:11" ht="24.75">
      <c r="A32" s="6" t="s">
        <v>30</v>
      </c>
      <c r="B32" s="11">
        <v>1822.55</v>
      </c>
      <c r="C32" s="11">
        <v>2040.95</v>
      </c>
      <c r="D32" s="7">
        <v>816.23</v>
      </c>
      <c r="E32" s="7">
        <v>647.34</v>
      </c>
      <c r="F32" s="11">
        <v>1249.06</v>
      </c>
      <c r="G32" s="1"/>
      <c r="H32" s="1"/>
      <c r="I32" s="1"/>
      <c r="J32" s="1"/>
      <c r="K32" s="1"/>
    </row>
    <row r="33" spans="1:11" ht="36.75">
      <c r="A33" s="8" t="s">
        <v>31</v>
      </c>
      <c r="B33" s="10">
        <v>5933.38</v>
      </c>
      <c r="C33" s="10">
        <v>5153.38</v>
      </c>
      <c r="D33" s="10">
        <v>4603.87</v>
      </c>
      <c r="E33" s="10">
        <v>4164.1099999999997</v>
      </c>
      <c r="F33" s="10">
        <v>3533.24</v>
      </c>
      <c r="G33" s="1"/>
      <c r="H33" s="1"/>
      <c r="I33" s="1"/>
      <c r="J33" s="1"/>
      <c r="K33" s="1"/>
    </row>
    <row r="34" spans="1:11" ht="24.75">
      <c r="A34" s="8" t="s">
        <v>32</v>
      </c>
      <c r="B34" s="9">
        <v>0</v>
      </c>
      <c r="C34" s="9">
        <v>74.22</v>
      </c>
      <c r="D34" s="9">
        <v>63.62</v>
      </c>
      <c r="E34" s="9">
        <v>63.6</v>
      </c>
      <c r="F34" s="9">
        <v>42.41</v>
      </c>
      <c r="G34" s="1"/>
      <c r="H34" s="1"/>
      <c r="I34" s="1"/>
      <c r="J34" s="1"/>
      <c r="K34" s="1"/>
    </row>
    <row r="35" spans="1:11" ht="24" customHeight="1">
      <c r="A35" s="15" t="s">
        <v>33</v>
      </c>
      <c r="B35" s="16"/>
      <c r="C35" s="7"/>
      <c r="D35" s="7"/>
      <c r="E35" s="7"/>
      <c r="F35" s="7"/>
      <c r="G35" s="1"/>
      <c r="H35" s="1"/>
      <c r="I35" s="1"/>
      <c r="J35" s="1"/>
      <c r="K35" s="1"/>
    </row>
    <row r="36" spans="1:11" ht="36.75">
      <c r="A36" s="8" t="s">
        <v>34</v>
      </c>
      <c r="B36" s="9">
        <v>42.4</v>
      </c>
      <c r="C36" s="9">
        <v>42.41</v>
      </c>
      <c r="D36" s="9">
        <v>42.41</v>
      </c>
      <c r="E36" s="9">
        <v>42.41</v>
      </c>
      <c r="F36" s="9">
        <v>42.41</v>
      </c>
      <c r="G36" s="1"/>
      <c r="H36" s="1"/>
      <c r="I36" s="1"/>
      <c r="J36" s="1"/>
      <c r="K36" s="1"/>
    </row>
    <row r="37" spans="1:11" ht="36.75">
      <c r="A37" s="6" t="s">
        <v>35</v>
      </c>
      <c r="B37" s="11">
        <v>4298.47</v>
      </c>
      <c r="C37" s="11">
        <v>4812.26</v>
      </c>
      <c r="D37" s="11">
        <v>1924.55</v>
      </c>
      <c r="E37" s="11">
        <v>1526.33</v>
      </c>
      <c r="F37" s="11">
        <v>2945.1</v>
      </c>
      <c r="G37" s="1"/>
      <c r="H37" s="1"/>
      <c r="I37" s="1"/>
      <c r="J37" s="1"/>
      <c r="K37" s="1"/>
    </row>
    <row r="38" spans="1:11" ht="36.75">
      <c r="A38" s="8" t="s">
        <v>36</v>
      </c>
      <c r="B38" s="10">
        <v>2350</v>
      </c>
      <c r="C38" s="10">
        <v>2000</v>
      </c>
      <c r="D38" s="10">
        <v>1750</v>
      </c>
      <c r="E38" s="10">
        <v>1500</v>
      </c>
      <c r="F38" s="10">
        <v>1500</v>
      </c>
      <c r="G38" s="1"/>
      <c r="H38" s="1"/>
      <c r="I38" s="1"/>
      <c r="J38" s="1"/>
      <c r="K38" s="1"/>
    </row>
    <row r="39" spans="1:11" ht="36.75">
      <c r="A39" s="8" t="s">
        <v>37</v>
      </c>
      <c r="B39" s="10">
        <v>42867.62</v>
      </c>
      <c r="C39" s="10">
        <v>38764.67</v>
      </c>
      <c r="D39" s="10">
        <v>34209.81</v>
      </c>
      <c r="E39" s="10">
        <v>32484.799999999999</v>
      </c>
      <c r="F39" s="10">
        <v>31073.84</v>
      </c>
      <c r="G39" s="1"/>
      <c r="H39" s="1"/>
      <c r="I39" s="1"/>
      <c r="J39" s="1"/>
      <c r="K39" s="1"/>
    </row>
    <row r="40" spans="1:11">
      <c r="A40" s="12"/>
      <c r="B40" s="13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7"/>
      <c r="B41" s="17"/>
      <c r="C41" s="17"/>
      <c r="D41" s="17"/>
      <c r="E41" s="17"/>
      <c r="F41" s="17"/>
      <c r="G41" s="1"/>
      <c r="H41" s="1"/>
      <c r="I41" s="1"/>
      <c r="J41" s="1"/>
      <c r="K41" s="1"/>
    </row>
    <row r="42" spans="1:11">
      <c r="A42" s="18"/>
      <c r="B42" s="18"/>
      <c r="C42" s="18"/>
      <c r="D42" s="18"/>
      <c r="E42" s="18"/>
      <c r="F42" s="18"/>
      <c r="G42" s="1"/>
      <c r="H42" s="1"/>
      <c r="I42" s="1"/>
      <c r="J42" s="1"/>
      <c r="K42" s="1"/>
    </row>
  </sheetData>
  <mergeCells count="9">
    <mergeCell ref="A35:B35"/>
    <mergeCell ref="A41:F41"/>
    <mergeCell ref="A42:F42"/>
    <mergeCell ref="A4:K4"/>
    <mergeCell ref="A6:K6"/>
    <mergeCell ref="A7:B7"/>
    <mergeCell ref="A13:B13"/>
    <mergeCell ref="A21:K21"/>
    <mergeCell ref="A23:K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tabSelected="1" zoomScale="175" zoomScaleNormal="175" workbookViewId="0">
      <selection activeCell="K15" sqref="K15"/>
    </sheetView>
  </sheetViews>
  <sheetFormatPr defaultRowHeight="15"/>
  <cols>
    <col min="1" max="1" width="24" bestFit="1" customWidth="1"/>
  </cols>
  <sheetData>
    <row r="1" spans="1:7">
      <c r="A1" t="s">
        <v>38</v>
      </c>
      <c r="B1" s="19">
        <f>20000*30</f>
        <v>600000</v>
      </c>
    </row>
    <row r="2" spans="1:7">
      <c r="A2" t="s">
        <v>39</v>
      </c>
      <c r="B2" s="19">
        <f>(30*B1)/100</f>
        <v>180000</v>
      </c>
    </row>
    <row r="3" spans="1:7" ht="15.75" thickBot="1">
      <c r="A3" s="21" t="s">
        <v>40</v>
      </c>
      <c r="B3" s="21">
        <f>B1-B2</f>
        <v>420000</v>
      </c>
    </row>
    <row r="5" spans="1:7">
      <c r="A5" s="20" t="s">
        <v>41</v>
      </c>
    </row>
    <row r="6" spans="1:7">
      <c r="A6" t="s">
        <v>42</v>
      </c>
      <c r="B6" s="19">
        <f>4*15000</f>
        <v>60000</v>
      </c>
      <c r="D6">
        <v>30000</v>
      </c>
      <c r="E6">
        <f>30*D6</f>
        <v>900000</v>
      </c>
    </row>
    <row r="7" spans="1:7">
      <c r="A7" t="s">
        <v>43</v>
      </c>
      <c r="B7" s="19">
        <v>5000</v>
      </c>
    </row>
    <row r="8" spans="1:7">
      <c r="A8" t="s">
        <v>44</v>
      </c>
    </row>
    <row r="9" spans="1:7">
      <c r="A9" t="s">
        <v>45</v>
      </c>
      <c r="B9" s="19">
        <v>50000</v>
      </c>
    </row>
    <row r="10" spans="1:7">
      <c r="A10" t="s">
        <v>46</v>
      </c>
      <c r="B10" s="19">
        <v>2000</v>
      </c>
      <c r="F10">
        <f>2000*15</f>
        <v>30000</v>
      </c>
    </row>
    <row r="11" spans="1:7">
      <c r="A11" t="s">
        <v>47</v>
      </c>
      <c r="B11" s="19">
        <v>5000</v>
      </c>
    </row>
    <row r="12" spans="1:7">
      <c r="A12" t="s">
        <v>48</v>
      </c>
      <c r="B12">
        <f>B6+B7+B9+B10+B11</f>
        <v>122000</v>
      </c>
      <c r="G12">
        <f>B2+B7+B11+B10</f>
        <v>192000</v>
      </c>
    </row>
    <row r="13" spans="1:7" ht="15.75" thickBot="1">
      <c r="A13" s="21" t="s">
        <v>56</v>
      </c>
      <c r="B13" s="21">
        <f>B3-B12</f>
        <v>298000</v>
      </c>
      <c r="G13">
        <v>1000000</v>
      </c>
    </row>
    <row r="14" spans="1:7">
      <c r="A14" t="s">
        <v>49</v>
      </c>
    </row>
    <row r="15" spans="1:7">
      <c r="A15" t="s">
        <v>50</v>
      </c>
      <c r="B15" s="19">
        <v>2000</v>
      </c>
      <c r="G15">
        <f>G13/B19</f>
        <v>3.3112582781456954</v>
      </c>
    </row>
    <row r="16" spans="1:7">
      <c r="A16" t="s">
        <v>51</v>
      </c>
      <c r="B16" s="19">
        <v>1000</v>
      </c>
    </row>
    <row r="17" spans="1:6">
      <c r="A17" t="s">
        <v>52</v>
      </c>
      <c r="B17" s="19">
        <v>1000</v>
      </c>
    </row>
    <row r="18" spans="1:6">
      <c r="A18" t="s">
        <v>53</v>
      </c>
      <c r="B18">
        <f>SUM(B15:B17)</f>
        <v>4000</v>
      </c>
    </row>
    <row r="19" spans="1:6" ht="15.75" thickBot="1">
      <c r="A19" s="21" t="s">
        <v>54</v>
      </c>
      <c r="B19" s="21">
        <f>B3-B12+B18</f>
        <v>302000</v>
      </c>
      <c r="F19">
        <f>B19*12</f>
        <v>3624000</v>
      </c>
    </row>
    <row r="20" spans="1:6">
      <c r="A20" t="s">
        <v>55</v>
      </c>
      <c r="B20" s="22">
        <f>B13/B1</f>
        <v>0.49666666666666665</v>
      </c>
    </row>
    <row r="21" spans="1:6">
      <c r="A21" t="s">
        <v>57</v>
      </c>
      <c r="B21" s="22">
        <f>B19/B1</f>
        <v>0.5033333333333333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2025-06-21T05:21:00Z</dcterms:created>
  <dcterms:modified xsi:type="dcterms:W3CDTF">2025-06-21T08:44:50Z</dcterms:modified>
</cp:coreProperties>
</file>